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vasconcellos\Downloads\"/>
    </mc:Choice>
  </mc:AlternateContent>
  <xr:revisionPtr revIDLastSave="0" documentId="13_ncr:1_{5E72B438-A44C-4230-80D9-60A9E6CC1EF7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Dashboard" sheetId="1" r:id="rId1"/>
    <sheet name="Rendimentos" sheetId="2" r:id="rId2"/>
    <sheet name="Deduções" sheetId="3" r:id="rId3"/>
    <sheet name="Despesas Profissionais" sheetId="4" r:id="rId4"/>
    <sheet name="Bens e Direitos" sheetId="5" r:id="rId5"/>
    <sheet name="Resumo Fisca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D7" i="6"/>
  <c r="F14" i="5"/>
  <c r="D12" i="6" s="1"/>
  <c r="F15" i="4"/>
  <c r="D8" i="1" s="1"/>
  <c r="F15" i="3"/>
  <c r="D7" i="1" s="1"/>
  <c r="F15" i="2"/>
  <c r="D6" i="1" s="1"/>
  <c r="D9" i="1" s="1"/>
  <c r="D10" i="1" s="1"/>
  <c r="D13" i="1"/>
  <c r="D11" i="1"/>
  <c r="D9" i="6" l="1"/>
  <c r="D10" i="6" s="1"/>
  <c r="D11" i="6" s="1"/>
</calcChain>
</file>

<file path=xl/sharedStrings.xml><?xml version="1.0" encoding="utf-8"?>
<sst xmlns="http://schemas.openxmlformats.org/spreadsheetml/2006/main" count="129" uniqueCount="75">
  <si>
    <t>Dashboard</t>
  </si>
  <si>
    <t>Rendimentos</t>
  </si>
  <si>
    <t>Deduções</t>
  </si>
  <si>
    <t>Despesas Profissionais</t>
  </si>
  <si>
    <t>Bens e Direitos</t>
  </si>
  <si>
    <t>Resumo Fiscal</t>
  </si>
  <si>
    <t>CONTROLE DE IMPOSTO DE RENDA 2025</t>
  </si>
  <si>
    <t>RESUMO FISCAL 2025</t>
  </si>
  <si>
    <t>Rendimentos Totais</t>
  </si>
  <si>
    <t>Deduções Totais</t>
  </si>
  <si>
    <t>Base de Cálculo</t>
  </si>
  <si>
    <t>Imposto Estimado (15%)</t>
  </si>
  <si>
    <t>Patrimônio Total</t>
  </si>
  <si>
    <t>Atualizado em</t>
  </si>
  <si>
    <t>2. RENDIMENTOS</t>
  </si>
  <si>
    <t>Registre seus lançamentos abaixo</t>
  </si>
  <si>
    <t>LANÇAMENTOS</t>
  </si>
  <si>
    <t>DATA</t>
  </si>
  <si>
    <t>CATEGORIA</t>
  </si>
  <si>
    <t>DESCRIÇÃO</t>
  </si>
  <si>
    <t>VALOR</t>
  </si>
  <si>
    <t>Salário</t>
  </si>
  <si>
    <t>Folha de Pagamento Janeiro</t>
  </si>
  <si>
    <t>Folha de Pagamento Fevereiro</t>
  </si>
  <si>
    <t>Folha de Pagamento Março</t>
  </si>
  <si>
    <t>Aluguel</t>
  </si>
  <si>
    <t>Rendimento de Aluguel - Imóvel</t>
  </si>
  <si>
    <t>Honorários</t>
  </si>
  <si>
    <t>Consultoria</t>
  </si>
  <si>
    <t>TOTAL</t>
  </si>
  <si>
    <t>3. DEDUÇÕES</t>
  </si>
  <si>
    <t>Previdenciária (INSS)</t>
  </si>
  <si>
    <t>Contribuição INSS</t>
  </si>
  <si>
    <t>Educação</t>
  </si>
  <si>
    <t>Cursinho e Livros</t>
  </si>
  <si>
    <t>Saúde</t>
  </si>
  <si>
    <t>Plano de Saúde</t>
  </si>
  <si>
    <t>Dependentes</t>
  </si>
  <si>
    <t>Pensão Alimentícia</t>
  </si>
  <si>
    <t>Curso Online</t>
  </si>
  <si>
    <t>4. DESPESAS PROFISSIONAIS</t>
  </si>
  <si>
    <t>Material</t>
  </si>
  <si>
    <t>Suprimentos de Escritório</t>
  </si>
  <si>
    <t>Software/Licenças</t>
  </si>
  <si>
    <t>Licença Antivírus</t>
  </si>
  <si>
    <t>Sala Comercial Ref Janeiro</t>
  </si>
  <si>
    <t>Energia/Água</t>
  </si>
  <si>
    <t>Conta de Luz Escritório</t>
  </si>
  <si>
    <t>Transporte</t>
  </si>
  <si>
    <t>Combustível Profissional</t>
  </si>
  <si>
    <t>5. BENS E DIREITOS</t>
  </si>
  <si>
    <t>Patrimônio (bens, direitos e investimentos)</t>
  </si>
  <si>
    <t>ITENS</t>
  </si>
  <si>
    <t>LOCALIZAÇÃO</t>
  </si>
  <si>
    <t>DATA AQUISIÇÃO</t>
  </si>
  <si>
    <t>OBSERVAÇÕES</t>
  </si>
  <si>
    <t>Imóvel Residencial</t>
  </si>
  <si>
    <t>Rua A, nº 100, Rio de Janeiro</t>
  </si>
  <si>
    <t>Casa própria</t>
  </si>
  <si>
    <t>Apartamento Alugado</t>
  </si>
  <si>
    <t>Avenida B, nº 500, Rio de Janeiro</t>
  </si>
  <si>
    <t>Gera renda</t>
  </si>
  <si>
    <t>Carro</t>
  </si>
  <si>
    <t>Placa ABC-1234</t>
  </si>
  <si>
    <t>Veículo</t>
  </si>
  <si>
    <t>Ações</t>
  </si>
  <si>
    <t>Tesouro Direto + BRML11</t>
  </si>
  <si>
    <t>Investimentos</t>
  </si>
  <si>
    <t>6. RESUMO FISCAL</t>
  </si>
  <si>
    <t>Resumo automático a partir dos lançamentos</t>
  </si>
  <si>
    <t>RESUMO</t>
  </si>
  <si>
    <t>Total de Rendimentos</t>
  </si>
  <si>
    <t>Total de Deduções</t>
  </si>
  <si>
    <t>Total de Despesas Profissionais</t>
  </si>
  <si>
    <t>Patrimônio Total Declarado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</si>
</sst>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b/>
      <sz val="15"/>
      <color rgb="FF7030A0"/>
      <name val="Calibri"/>
      <family val="2"/>
      <scheme val="minor"/>
    </font>
    <font>
      <i/>
      <sz val="11"/>
      <color theme="2" tint="-0.749961851863155"/>
      <name val="Calibri"/>
      <family val="2"/>
      <scheme val="minor"/>
    </font>
    <font>
      <sz val="11"/>
      <color theme="1"/>
      <name val="Segoe UI Light"/>
      <family val="2"/>
    </font>
    <font>
      <sz val="11"/>
      <color rgb="FF9C5700"/>
      <name val="Calibri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5117038483843"/>
        <bgColor indexed="65"/>
      </patternFill>
    </fill>
    <fill>
      <patternFill patternType="solid">
        <fgColor rgb="FFFFEB9C"/>
      </patternFill>
    </fill>
    <fill>
      <patternFill patternType="solid">
        <fgColor rgb="FFEE37BF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rgb="FF7030A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3" fillId="0" borderId="3" xfId="0" applyFont="1" applyBorder="1" applyAlignment="1">
      <alignment horizontal="right"/>
    </xf>
    <xf numFmtId="164" fontId="4" fillId="3" borderId="3" xfId="0" applyNumberFormat="1" applyFont="1" applyFill="1" applyBorder="1" applyAlignment="1">
      <alignment horizontal="left"/>
    </xf>
    <xf numFmtId="14" fontId="4" fillId="3" borderId="3" xfId="0" applyNumberFormat="1" applyFont="1" applyFill="1" applyBorder="1" applyAlignment="1">
      <alignment horizontal="left"/>
    </xf>
    <xf numFmtId="0" fontId="5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0" fillId="0" borderId="4" xfId="0" applyBorder="1"/>
    <xf numFmtId="0" fontId="8" fillId="0" borderId="4" xfId="0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0" fillId="0" borderId="2" xfId="0" applyBorder="1"/>
    <xf numFmtId="0" fontId="0" fillId="5" borderId="0" xfId="0" applyFill="1"/>
    <xf numFmtId="0" fontId="9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836930</xdr:colOff>
      <xdr:row>19</xdr:row>
      <xdr:rowOff>47942</xdr:rowOff>
    </xdr:from>
    <xdr:to>
      <xdr:col>0</xdr:col>
      <xdr:colOff>1182114</xdr:colOff>
      <xdr:row>20</xdr:row>
      <xdr:rowOff>187008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930" y="4071302"/>
          <a:ext cx="345184" cy="3448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7620</xdr:colOff>
      <xdr:row>9</xdr:row>
      <xdr:rowOff>157276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EC40D35-1CFD-52C2-D3E1-5494EEAD7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7400" cy="212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836930</xdr:colOff>
      <xdr:row>19</xdr:row>
      <xdr:rowOff>47942</xdr:rowOff>
    </xdr:from>
    <xdr:to>
      <xdr:col>0</xdr:col>
      <xdr:colOff>1182114</xdr:colOff>
      <xdr:row>20</xdr:row>
      <xdr:rowOff>187008</xdr:rowOff>
    </xdr:to>
    <xdr:pic>
      <xdr:nvPicPr>
        <xdr:cNvPr id="8" name="/xl/media/image2.png">
          <a:extLst>
            <a:ext uri="{FF2B5EF4-FFF2-40B4-BE49-F238E27FC236}">
              <a16:creationId xmlns:a16="http://schemas.microsoft.com/office/drawing/2014/main" id="{AEC5B3DF-3444-43F0-907B-B3443BFFA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930" y="4071302"/>
          <a:ext cx="345184" cy="3448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7620</xdr:colOff>
      <xdr:row>9</xdr:row>
      <xdr:rowOff>157276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96C820C-9CC5-4463-9B35-41C7D26CF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7400" cy="21232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836930</xdr:colOff>
      <xdr:row>19</xdr:row>
      <xdr:rowOff>47942</xdr:rowOff>
    </xdr:from>
    <xdr:to>
      <xdr:col>0</xdr:col>
      <xdr:colOff>1182114</xdr:colOff>
      <xdr:row>20</xdr:row>
      <xdr:rowOff>187008</xdr:rowOff>
    </xdr:to>
    <xdr:pic>
      <xdr:nvPicPr>
        <xdr:cNvPr id="8" name="/xl/media/image2.png">
          <a:extLst>
            <a:ext uri="{FF2B5EF4-FFF2-40B4-BE49-F238E27FC236}">
              <a16:creationId xmlns:a16="http://schemas.microsoft.com/office/drawing/2014/main" id="{81700559-1448-48B6-A7B3-A4DFFAF24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930" y="4071302"/>
          <a:ext cx="345184" cy="3448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7620</xdr:colOff>
      <xdr:row>9</xdr:row>
      <xdr:rowOff>157276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0B296C6-CD73-4661-896B-EF5F7129B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7400" cy="21232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836930</xdr:colOff>
      <xdr:row>19</xdr:row>
      <xdr:rowOff>47942</xdr:rowOff>
    </xdr:from>
    <xdr:to>
      <xdr:col>0</xdr:col>
      <xdr:colOff>1182114</xdr:colOff>
      <xdr:row>20</xdr:row>
      <xdr:rowOff>187008</xdr:rowOff>
    </xdr:to>
    <xdr:pic>
      <xdr:nvPicPr>
        <xdr:cNvPr id="6" name="/xl/media/image2.png">
          <a:extLst>
            <a:ext uri="{FF2B5EF4-FFF2-40B4-BE49-F238E27FC236}">
              <a16:creationId xmlns:a16="http://schemas.microsoft.com/office/drawing/2014/main" id="{3F8118BD-BCF6-46DD-BE65-45EA1E1A1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930" y="4071302"/>
          <a:ext cx="345184" cy="3448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7620</xdr:colOff>
      <xdr:row>9</xdr:row>
      <xdr:rowOff>157276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17A53E0-9085-4CD2-B209-77E4DAF2C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7400" cy="212323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836930</xdr:colOff>
      <xdr:row>19</xdr:row>
      <xdr:rowOff>47942</xdr:rowOff>
    </xdr:from>
    <xdr:to>
      <xdr:col>0</xdr:col>
      <xdr:colOff>1182114</xdr:colOff>
      <xdr:row>20</xdr:row>
      <xdr:rowOff>187008</xdr:rowOff>
    </xdr:to>
    <xdr:pic>
      <xdr:nvPicPr>
        <xdr:cNvPr id="4" name="/xl/media/image2.png">
          <a:extLst>
            <a:ext uri="{FF2B5EF4-FFF2-40B4-BE49-F238E27FC236}">
              <a16:creationId xmlns:a16="http://schemas.microsoft.com/office/drawing/2014/main" id="{9D9E884D-CA68-40F5-A1C6-A2891C88D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930" y="4071302"/>
          <a:ext cx="345184" cy="34480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7620</xdr:colOff>
      <xdr:row>9</xdr:row>
      <xdr:rowOff>157276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FA9EA20-EC7D-44A2-BE36-6DCE28B08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7400" cy="212323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7620</xdr:colOff>
      <xdr:row>9</xdr:row>
      <xdr:rowOff>157276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B0572E3-97C5-4236-BAAF-BF9E6ABD2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57400" cy="2123236"/>
        </a:xfrm>
        <a:prstGeom prst="rect">
          <a:avLst/>
        </a:prstGeom>
      </xdr:spPr>
    </xdr:pic>
    <xdr:clientData/>
  </xdr:twoCellAnchor>
  <xdr:twoCellAnchor editAs="oneCell">
    <xdr:from>
      <xdr:col>0</xdr:col>
      <xdr:colOff>836930</xdr:colOff>
      <xdr:row>19</xdr:row>
      <xdr:rowOff>47942</xdr:rowOff>
    </xdr:from>
    <xdr:to>
      <xdr:col>0</xdr:col>
      <xdr:colOff>1182114</xdr:colOff>
      <xdr:row>20</xdr:row>
      <xdr:rowOff>187008</xdr:rowOff>
    </xdr:to>
    <xdr:pic>
      <xdr:nvPicPr>
        <xdr:cNvPr id="4" name="/xl/media/image2.png">
          <a:extLst>
            <a:ext uri="{FF2B5EF4-FFF2-40B4-BE49-F238E27FC236}">
              <a16:creationId xmlns:a16="http://schemas.microsoft.com/office/drawing/2014/main" id="{6FECA313-7CFA-4880-91F5-34AE8299C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6930" y="4071302"/>
          <a:ext cx="345184" cy="34480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</sheetPr>
  <dimension ref="A1:E29"/>
  <sheetViews>
    <sheetView showGridLines="0" workbookViewId="0">
      <pane xSplit="1" topLeftCell="B1" activePane="topRight" state="frozen"/>
      <selection pane="topRight" activeCell="D17" sqref="D17"/>
    </sheetView>
  </sheetViews>
  <sheetFormatPr defaultRowHeight="14.4" x14ac:dyDescent="0.3"/>
  <cols>
    <col min="1" max="1" width="29.88671875" customWidth="1"/>
    <col min="2" max="2" width="13" customWidth="1"/>
    <col min="3" max="3" width="42.21875" customWidth="1"/>
    <col min="4" max="4" width="43.21875" customWidth="1"/>
    <col min="5" max="8" width="13" customWidth="1"/>
  </cols>
  <sheetData>
    <row r="1" spans="1:5" x14ac:dyDescent="0.3">
      <c r="A1" s="15"/>
    </row>
    <row r="2" spans="1:5" ht="19.95" customHeight="1" x14ac:dyDescent="0.3">
      <c r="A2" s="15"/>
    </row>
    <row r="3" spans="1:5" ht="19.95" customHeight="1" x14ac:dyDescent="0.4">
      <c r="A3" s="15"/>
      <c r="C3" s="1" t="s">
        <v>6</v>
      </c>
    </row>
    <row r="4" spans="1:5" ht="22.05" customHeight="1" x14ac:dyDescent="0.3">
      <c r="A4" s="15"/>
      <c r="C4" s="13" t="s">
        <v>7</v>
      </c>
      <c r="D4" s="14"/>
      <c r="E4" s="14"/>
    </row>
    <row r="5" spans="1:5" x14ac:dyDescent="0.3">
      <c r="A5" s="15"/>
    </row>
    <row r="6" spans="1:5" ht="16.5" customHeight="1" x14ac:dyDescent="0.4">
      <c r="A6" s="15"/>
      <c r="C6" s="2" t="s">
        <v>8</v>
      </c>
      <c r="D6" s="3">
        <f>Rendimentos!F15</f>
        <v>18500</v>
      </c>
    </row>
    <row r="7" spans="1:5" ht="16.5" customHeight="1" x14ac:dyDescent="0.4">
      <c r="A7" s="15"/>
      <c r="C7" s="2" t="s">
        <v>9</v>
      </c>
      <c r="D7" s="3">
        <f>Deduções!F15</f>
        <v>2950</v>
      </c>
    </row>
    <row r="8" spans="1:5" ht="16.5" customHeight="1" x14ac:dyDescent="0.4">
      <c r="A8" s="15"/>
      <c r="C8" s="2" t="s">
        <v>3</v>
      </c>
      <c r="D8" s="3">
        <f>'Despesas Profissionais'!F15</f>
        <v>1980</v>
      </c>
    </row>
    <row r="9" spans="1:5" ht="16.5" customHeight="1" x14ac:dyDescent="0.4">
      <c r="A9" s="15"/>
      <c r="C9" s="2" t="s">
        <v>10</v>
      </c>
      <c r="D9" s="3">
        <f>D6-D7-D8</f>
        <v>13570</v>
      </c>
    </row>
    <row r="10" spans="1:5" ht="16.5" customHeight="1" x14ac:dyDescent="0.4">
      <c r="A10" s="15"/>
      <c r="C10" s="2" t="s">
        <v>11</v>
      </c>
      <c r="D10" s="3">
        <f>D9*0.15</f>
        <v>2035.5</v>
      </c>
    </row>
    <row r="11" spans="1:5" ht="16.5" customHeight="1" x14ac:dyDescent="0.4">
      <c r="A11" s="15"/>
      <c r="C11" s="2" t="s">
        <v>12</v>
      </c>
      <c r="D11" s="3">
        <f>'Bens e Direitos'!F14</f>
        <v>880000</v>
      </c>
    </row>
    <row r="12" spans="1:5" ht="16.5" customHeight="1" x14ac:dyDescent="0.3">
      <c r="A12" s="15"/>
    </row>
    <row r="13" spans="1:5" ht="16.5" customHeight="1" x14ac:dyDescent="0.4">
      <c r="A13" s="16" t="s">
        <v>0</v>
      </c>
      <c r="C13" s="2" t="s">
        <v>13</v>
      </c>
      <c r="D13" s="4">
        <f ca="1">TODAY()</f>
        <v>46020</v>
      </c>
    </row>
    <row r="14" spans="1:5" ht="16.5" customHeight="1" x14ac:dyDescent="0.3">
      <c r="A14" s="16" t="s">
        <v>1</v>
      </c>
    </row>
    <row r="15" spans="1:5" ht="16.5" customHeight="1" x14ac:dyDescent="0.3">
      <c r="A15" s="16" t="s">
        <v>2</v>
      </c>
    </row>
    <row r="16" spans="1:5" ht="16.5" customHeight="1" x14ac:dyDescent="0.3">
      <c r="A16" s="16" t="s">
        <v>3</v>
      </c>
    </row>
    <row r="17" spans="1:1" ht="16.5" customHeight="1" x14ac:dyDescent="0.3">
      <c r="A17" s="16" t="s">
        <v>4</v>
      </c>
    </row>
    <row r="18" spans="1:1" ht="16.5" customHeight="1" x14ac:dyDescent="0.3">
      <c r="A18" s="16" t="s">
        <v>5</v>
      </c>
    </row>
    <row r="19" spans="1:1" ht="16.5" customHeight="1" x14ac:dyDescent="0.3">
      <c r="A19" s="15"/>
    </row>
    <row r="20" spans="1:1" ht="16.5" customHeight="1" x14ac:dyDescent="0.3">
      <c r="A20" s="15"/>
    </row>
    <row r="21" spans="1:1" ht="16.5" customHeight="1" x14ac:dyDescent="0.3">
      <c r="A21" s="15"/>
    </row>
    <row r="22" spans="1:1" ht="16.5" customHeight="1" x14ac:dyDescent="0.3">
      <c r="A22" s="15"/>
    </row>
    <row r="23" spans="1:1" ht="16.5" customHeight="1" x14ac:dyDescent="0.3">
      <c r="A23" s="15"/>
    </row>
    <row r="24" spans="1:1" ht="16.5" customHeight="1" x14ac:dyDescent="0.3">
      <c r="A24" s="15"/>
    </row>
    <row r="25" spans="1:1" ht="16.5" customHeight="1" x14ac:dyDescent="0.3">
      <c r="A25" s="15"/>
    </row>
    <row r="26" spans="1:1" ht="16.5" customHeight="1" x14ac:dyDescent="0.3">
      <c r="A26" s="15"/>
    </row>
    <row r="27" spans="1:1" ht="16.5" customHeight="1" x14ac:dyDescent="0.3">
      <c r="A27" s="15"/>
    </row>
    <row r="28" spans="1:1" ht="16.5" customHeight="1" x14ac:dyDescent="0.3">
      <c r="A28" s="15"/>
    </row>
    <row r="29" spans="1:1" ht="16.5" customHeight="1" x14ac:dyDescent="0.3"/>
  </sheetData>
  <mergeCells count="1">
    <mergeCell ref="C4:E4"/>
  </mergeCells>
  <hyperlinks>
    <hyperlink ref="A13" location="'Dashboard'!A1" display="Dashboard" xr:uid="{00000000-0004-0000-0000-000000000000}"/>
    <hyperlink ref="A14" location="'Rendimentos'!A1" display="Rendimentos" xr:uid="{0A060BD7-F72E-47D1-AC89-F55F59C50E67}"/>
    <hyperlink ref="A15" location="'Deduções'!A1" display="Deduções" xr:uid="{3ED24211-D78F-45CA-990C-EB66A6149369}"/>
    <hyperlink ref="A16" location="'Despesas Profissionais'!A1" display="Despesas Profissionais" xr:uid="{4B8C557E-A170-4A5E-8FC1-163BFD6E1D6E}"/>
    <hyperlink ref="A17" location="'Bens e Direitos'!A1" display="Bens e Direitos" xr:uid="{939D58C4-40EE-496A-AB22-BB6932E71DDD}"/>
    <hyperlink ref="A18" location="'Resumo Fiscal'!A1" display="Resumo Fiscal" xr:uid="{23DE9466-A756-4A1D-84E9-84A9E682F397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</sheetPr>
  <dimension ref="A1:F29"/>
  <sheetViews>
    <sheetView showGridLines="0" workbookViewId="0">
      <pane xSplit="1" topLeftCell="B1" activePane="topRight" state="frozen"/>
      <selection pane="topRight"/>
    </sheetView>
  </sheetViews>
  <sheetFormatPr defaultRowHeight="14.4" x14ac:dyDescent="0.3"/>
  <cols>
    <col min="1" max="1" width="29.88671875" customWidth="1"/>
    <col min="2" max="2" width="13" customWidth="1"/>
    <col min="3" max="3" width="18" customWidth="1"/>
    <col min="4" max="4" width="22" customWidth="1"/>
    <col min="5" max="5" width="50" customWidth="1"/>
    <col min="6" max="6" width="15" customWidth="1"/>
    <col min="7" max="8" width="13" customWidth="1"/>
  </cols>
  <sheetData>
    <row r="1" spans="1:6" x14ac:dyDescent="0.3">
      <c r="A1" s="15"/>
    </row>
    <row r="2" spans="1:6" ht="19.95" customHeight="1" x14ac:dyDescent="0.3">
      <c r="A2" s="15"/>
    </row>
    <row r="3" spans="1:6" ht="19.95" customHeight="1" x14ac:dyDescent="0.4">
      <c r="A3" s="15"/>
      <c r="C3" s="1" t="s">
        <v>14</v>
      </c>
    </row>
    <row r="4" spans="1:6" ht="22.05" customHeight="1" x14ac:dyDescent="0.3">
      <c r="A4" s="15"/>
      <c r="C4" s="13" t="s">
        <v>15</v>
      </c>
      <c r="D4" s="14"/>
      <c r="E4" s="14"/>
    </row>
    <row r="5" spans="1:6" x14ac:dyDescent="0.3">
      <c r="A5" s="15"/>
    </row>
    <row r="6" spans="1:6" ht="16.5" customHeight="1" x14ac:dyDescent="0.3">
      <c r="A6" s="15"/>
    </row>
    <row r="7" spans="1:6" ht="16.5" customHeight="1" x14ac:dyDescent="0.4">
      <c r="A7" s="15"/>
      <c r="C7" s="5" t="s">
        <v>16</v>
      </c>
    </row>
    <row r="8" spans="1:6" ht="16.5" customHeight="1" x14ac:dyDescent="0.35">
      <c r="A8" s="15"/>
      <c r="C8" s="6" t="s">
        <v>17</v>
      </c>
      <c r="D8" s="6" t="s">
        <v>18</v>
      </c>
      <c r="E8" s="6" t="s">
        <v>19</v>
      </c>
      <c r="F8" s="6" t="s">
        <v>20</v>
      </c>
    </row>
    <row r="9" spans="1:6" ht="16.5" customHeight="1" x14ac:dyDescent="0.4">
      <c r="A9" s="15"/>
      <c r="C9" s="7">
        <v>45658</v>
      </c>
      <c r="D9" s="8" t="s">
        <v>21</v>
      </c>
      <c r="E9" s="8" t="s">
        <v>22</v>
      </c>
      <c r="F9" s="9">
        <v>5000</v>
      </c>
    </row>
    <row r="10" spans="1:6" ht="16.5" customHeight="1" x14ac:dyDescent="0.4">
      <c r="A10" s="15"/>
      <c r="C10" s="7">
        <v>45689</v>
      </c>
      <c r="D10" s="8" t="s">
        <v>21</v>
      </c>
      <c r="E10" s="8" t="s">
        <v>23</v>
      </c>
      <c r="F10" s="9">
        <v>5000</v>
      </c>
    </row>
    <row r="11" spans="1:6" ht="16.5" customHeight="1" x14ac:dyDescent="0.4">
      <c r="A11" s="15"/>
      <c r="C11" s="7">
        <v>45717</v>
      </c>
      <c r="D11" s="8" t="s">
        <v>21</v>
      </c>
      <c r="E11" s="8" t="s">
        <v>24</v>
      </c>
      <c r="F11" s="9">
        <v>5000</v>
      </c>
    </row>
    <row r="12" spans="1:6" ht="16.5" customHeight="1" x14ac:dyDescent="0.4">
      <c r="A12" s="15"/>
      <c r="C12" s="7">
        <v>45748</v>
      </c>
      <c r="D12" s="8" t="s">
        <v>25</v>
      </c>
      <c r="E12" s="8" t="s">
        <v>26</v>
      </c>
      <c r="F12" s="9">
        <v>1500</v>
      </c>
    </row>
    <row r="13" spans="1:6" ht="16.5" customHeight="1" x14ac:dyDescent="0.4">
      <c r="A13" s="16" t="s">
        <v>0</v>
      </c>
      <c r="C13" s="7">
        <v>45762</v>
      </c>
      <c r="D13" s="8" t="s">
        <v>27</v>
      </c>
      <c r="E13" s="8" t="s">
        <v>28</v>
      </c>
      <c r="F13" s="9">
        <v>2000</v>
      </c>
    </row>
    <row r="14" spans="1:6" ht="16.5" customHeight="1" x14ac:dyDescent="0.3">
      <c r="A14" s="16" t="s">
        <v>1</v>
      </c>
    </row>
    <row r="15" spans="1:6" ht="16.5" customHeight="1" x14ac:dyDescent="0.4">
      <c r="A15" s="16" t="s">
        <v>2</v>
      </c>
      <c r="C15" s="10"/>
      <c r="D15" s="10"/>
      <c r="E15" s="11" t="s">
        <v>29</v>
      </c>
      <c r="F15" s="12">
        <f>SUM(F9:F13)</f>
        <v>18500</v>
      </c>
    </row>
    <row r="16" spans="1:6" ht="16.5" customHeight="1" x14ac:dyDescent="0.3">
      <c r="A16" s="16" t="s">
        <v>3</v>
      </c>
    </row>
    <row r="17" spans="1:1" ht="16.5" customHeight="1" x14ac:dyDescent="0.3">
      <c r="A17" s="16" t="s">
        <v>4</v>
      </c>
    </row>
    <row r="18" spans="1:1" ht="16.5" customHeight="1" x14ac:dyDescent="0.3">
      <c r="A18" s="16" t="s">
        <v>5</v>
      </c>
    </row>
    <row r="19" spans="1:1" ht="16.5" customHeight="1" x14ac:dyDescent="0.3">
      <c r="A19" s="15"/>
    </row>
    <row r="20" spans="1:1" ht="16.5" customHeight="1" x14ac:dyDescent="0.3">
      <c r="A20" s="15"/>
    </row>
    <row r="21" spans="1:1" ht="16.5" customHeight="1" x14ac:dyDescent="0.3">
      <c r="A21" s="15"/>
    </row>
    <row r="22" spans="1:1" ht="16.5" customHeight="1" x14ac:dyDescent="0.3">
      <c r="A22" s="15"/>
    </row>
    <row r="23" spans="1:1" ht="16.5" customHeight="1" x14ac:dyDescent="0.3">
      <c r="A23" s="15"/>
    </row>
    <row r="24" spans="1:1" ht="16.5" customHeight="1" x14ac:dyDescent="0.3">
      <c r="A24" s="15"/>
    </row>
    <row r="25" spans="1:1" ht="16.5" customHeight="1" x14ac:dyDescent="0.3">
      <c r="A25" s="15"/>
    </row>
    <row r="26" spans="1:1" ht="16.5" customHeight="1" x14ac:dyDescent="0.3">
      <c r="A26" s="15"/>
    </row>
    <row r="27" spans="1:1" ht="16.5" customHeight="1" x14ac:dyDescent="0.3">
      <c r="A27" s="15"/>
    </row>
    <row r="28" spans="1:1" ht="16.5" customHeight="1" x14ac:dyDescent="0.3">
      <c r="A28" s="15"/>
    </row>
    <row r="29" spans="1:1" ht="16.5" customHeight="1" x14ac:dyDescent="0.3"/>
  </sheetData>
  <mergeCells count="1">
    <mergeCell ref="C4:E4"/>
  </mergeCells>
  <hyperlinks>
    <hyperlink ref="A13" location="'Dashboard'!A1" display="Dashboard" xr:uid="{593EE021-F5FD-4B26-A80F-FBD86703F47D}"/>
    <hyperlink ref="A14" location="'Rendimentos'!A1" display="Rendimentos" xr:uid="{253A3EF7-318B-4E5C-9DDD-286A1C13A2AE}"/>
    <hyperlink ref="A15" location="'Deduções'!A1" display="Deduções" xr:uid="{F6C0EF84-68D7-4FE7-9F94-1F2145DF4583}"/>
    <hyperlink ref="A16" location="'Despesas Profissionais'!A1" display="Despesas Profissionais" xr:uid="{80F7A5FE-ED5A-44FF-8DCF-52315CDB94C2}"/>
    <hyperlink ref="A17" location="'Bens e Direitos'!A1" display="Bens e Direitos" xr:uid="{89767C38-CEC9-4A82-9B20-38DDDEFA91F4}"/>
    <hyperlink ref="A18" location="'Resumo Fiscal'!A1" display="Resumo Fiscal" xr:uid="{232D936A-2D0F-40B3-9E72-932A46A8F5B7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F29"/>
  <sheetViews>
    <sheetView showGridLines="0" workbookViewId="0">
      <selection activeCell="A14" sqref="A14"/>
    </sheetView>
  </sheetViews>
  <sheetFormatPr defaultRowHeight="14.4" x14ac:dyDescent="0.3"/>
  <cols>
    <col min="1" max="1" width="29.88671875" customWidth="1"/>
    <col min="2" max="2" width="13" customWidth="1"/>
    <col min="3" max="3" width="18" customWidth="1"/>
    <col min="4" max="4" width="22" customWidth="1"/>
    <col min="5" max="5" width="50" customWidth="1"/>
    <col min="6" max="6" width="15" customWidth="1"/>
    <col min="7" max="8" width="13" customWidth="1"/>
  </cols>
  <sheetData>
    <row r="1" spans="1:6" x14ac:dyDescent="0.3">
      <c r="A1" s="15"/>
    </row>
    <row r="2" spans="1:6" ht="19.95" customHeight="1" x14ac:dyDescent="0.3">
      <c r="A2" s="15"/>
    </row>
    <row r="3" spans="1:6" ht="19.95" customHeight="1" x14ac:dyDescent="0.4">
      <c r="A3" s="15"/>
      <c r="C3" s="1" t="s">
        <v>30</v>
      </c>
    </row>
    <row r="4" spans="1:6" ht="22.05" customHeight="1" x14ac:dyDescent="0.3">
      <c r="A4" s="15"/>
      <c r="C4" s="13" t="s">
        <v>15</v>
      </c>
      <c r="D4" s="14"/>
      <c r="E4" s="14"/>
    </row>
    <row r="5" spans="1:6" x14ac:dyDescent="0.3">
      <c r="A5" s="15"/>
    </row>
    <row r="6" spans="1:6" ht="16.5" customHeight="1" x14ac:dyDescent="0.3">
      <c r="A6" s="15"/>
    </row>
    <row r="7" spans="1:6" ht="16.5" customHeight="1" x14ac:dyDescent="0.4">
      <c r="A7" s="15"/>
      <c r="C7" s="5" t="s">
        <v>16</v>
      </c>
    </row>
    <row r="8" spans="1:6" ht="16.5" customHeight="1" x14ac:dyDescent="0.35">
      <c r="A8" s="15"/>
      <c r="C8" s="6" t="s">
        <v>17</v>
      </c>
      <c r="D8" s="6" t="s">
        <v>18</v>
      </c>
      <c r="E8" s="6" t="s">
        <v>19</v>
      </c>
      <c r="F8" s="6" t="s">
        <v>20</v>
      </c>
    </row>
    <row r="9" spans="1:6" ht="16.5" customHeight="1" x14ac:dyDescent="0.4">
      <c r="A9" s="15"/>
      <c r="C9" s="7">
        <v>45662</v>
      </c>
      <c r="D9" s="8" t="s">
        <v>31</v>
      </c>
      <c r="E9" s="8" t="s">
        <v>32</v>
      </c>
      <c r="F9" s="9">
        <v>750</v>
      </c>
    </row>
    <row r="10" spans="1:6" ht="16.5" customHeight="1" x14ac:dyDescent="0.4">
      <c r="A10" s="15"/>
      <c r="C10" s="7">
        <v>45672</v>
      </c>
      <c r="D10" s="8" t="s">
        <v>33</v>
      </c>
      <c r="E10" s="8" t="s">
        <v>34</v>
      </c>
      <c r="F10" s="9">
        <v>500</v>
      </c>
    </row>
    <row r="11" spans="1:6" ht="16.5" customHeight="1" x14ac:dyDescent="0.4">
      <c r="A11" s="15"/>
      <c r="C11" s="7">
        <v>45708</v>
      </c>
      <c r="D11" s="8" t="s">
        <v>35</v>
      </c>
      <c r="E11" s="8" t="s">
        <v>36</v>
      </c>
      <c r="F11" s="9">
        <v>400</v>
      </c>
    </row>
    <row r="12" spans="1:6" ht="16.5" customHeight="1" x14ac:dyDescent="0.4">
      <c r="A12" s="15"/>
      <c r="C12" s="7">
        <v>45726</v>
      </c>
      <c r="D12" s="8" t="s">
        <v>37</v>
      </c>
      <c r="E12" s="8" t="s">
        <v>38</v>
      </c>
      <c r="F12" s="9">
        <v>1000</v>
      </c>
    </row>
    <row r="13" spans="1:6" ht="16.5" customHeight="1" x14ac:dyDescent="0.4">
      <c r="A13" s="16" t="s">
        <v>0</v>
      </c>
      <c r="C13" s="7">
        <v>45741</v>
      </c>
      <c r="D13" s="8" t="s">
        <v>33</v>
      </c>
      <c r="E13" s="8" t="s">
        <v>39</v>
      </c>
      <c r="F13" s="9">
        <v>300</v>
      </c>
    </row>
    <row r="14" spans="1:6" ht="16.5" customHeight="1" x14ac:dyDescent="0.3">
      <c r="A14" s="16" t="s">
        <v>1</v>
      </c>
    </row>
    <row r="15" spans="1:6" ht="16.5" customHeight="1" x14ac:dyDescent="0.4">
      <c r="A15" s="16" t="s">
        <v>2</v>
      </c>
      <c r="C15" s="10"/>
      <c r="D15" s="10"/>
      <c r="E15" s="11" t="s">
        <v>29</v>
      </c>
      <c r="F15" s="12">
        <f>SUM(F9:F13)</f>
        <v>2950</v>
      </c>
    </row>
    <row r="16" spans="1:6" ht="16.5" customHeight="1" x14ac:dyDescent="0.3">
      <c r="A16" s="16" t="s">
        <v>3</v>
      </c>
    </row>
    <row r="17" spans="1:1" ht="16.5" customHeight="1" x14ac:dyDescent="0.3">
      <c r="A17" s="16" t="s">
        <v>4</v>
      </c>
    </row>
    <row r="18" spans="1:1" ht="16.5" customHeight="1" x14ac:dyDescent="0.3">
      <c r="A18" s="16" t="s">
        <v>5</v>
      </c>
    </row>
    <row r="19" spans="1:1" ht="16.5" customHeight="1" x14ac:dyDescent="0.3">
      <c r="A19" s="15"/>
    </row>
    <row r="20" spans="1:1" ht="16.5" customHeight="1" x14ac:dyDescent="0.3">
      <c r="A20" s="15"/>
    </row>
    <row r="21" spans="1:1" ht="16.5" customHeight="1" x14ac:dyDescent="0.3">
      <c r="A21" s="15"/>
    </row>
    <row r="22" spans="1:1" ht="16.5" customHeight="1" x14ac:dyDescent="0.3">
      <c r="A22" s="15"/>
    </row>
    <row r="23" spans="1:1" ht="16.5" customHeight="1" x14ac:dyDescent="0.3">
      <c r="A23" s="15"/>
    </row>
    <row r="24" spans="1:1" ht="16.5" customHeight="1" x14ac:dyDescent="0.3">
      <c r="A24" s="15"/>
    </row>
    <row r="25" spans="1:1" ht="16.5" customHeight="1" x14ac:dyDescent="0.3">
      <c r="A25" s="15"/>
    </row>
    <row r="26" spans="1:1" ht="16.5" customHeight="1" x14ac:dyDescent="0.3">
      <c r="A26" s="15"/>
    </row>
    <row r="27" spans="1:1" ht="16.5" customHeight="1" x14ac:dyDescent="0.3">
      <c r="A27" s="15"/>
    </row>
    <row r="28" spans="1:1" ht="16.5" customHeight="1" x14ac:dyDescent="0.3">
      <c r="A28" s="15"/>
    </row>
    <row r="29" spans="1:1" ht="16.5" customHeight="1" x14ac:dyDescent="0.3"/>
  </sheetData>
  <mergeCells count="1">
    <mergeCell ref="C4:E4"/>
  </mergeCells>
  <hyperlinks>
    <hyperlink ref="A13" location="'Dashboard'!A1" display="Dashboard" xr:uid="{B23793E1-0B45-44CC-9834-EC1B12041C92}"/>
    <hyperlink ref="A14" location="'Rendimentos'!A1" display="Rendimentos" xr:uid="{08BEA761-A0D2-418F-B6E1-14A53FDFA30E}"/>
    <hyperlink ref="A15" location="'Deduções'!A1" display="Deduções" xr:uid="{A25D6738-C145-4B41-93B4-059CF0181AF7}"/>
    <hyperlink ref="A16" location="'Despesas Profissionais'!A1" display="Despesas Profissionais" xr:uid="{293E63C7-04B8-46DD-BC56-59D88B5660AA}"/>
    <hyperlink ref="A17" location="'Bens e Direitos'!A1" display="Bens e Direitos" xr:uid="{882BD72B-B7C9-4E60-88FC-20EE721C13C3}"/>
    <hyperlink ref="A18" location="'Resumo Fiscal'!A1" display="Resumo Fiscal" xr:uid="{3F9D9380-004F-4DCA-AEF5-6F197C8EA577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39997558519241921"/>
  </sheetPr>
  <dimension ref="A1:F29"/>
  <sheetViews>
    <sheetView showGridLines="0" zoomScaleNormal="100" workbookViewId="0">
      <pane xSplit="1" topLeftCell="B1" activePane="topRight" state="frozen"/>
      <selection pane="topRight" activeCell="E20" sqref="E20"/>
    </sheetView>
  </sheetViews>
  <sheetFormatPr defaultRowHeight="14.4" x14ac:dyDescent="0.3"/>
  <cols>
    <col min="1" max="1" width="29.88671875" customWidth="1"/>
    <col min="2" max="2" width="13" customWidth="1"/>
    <col min="3" max="3" width="18" customWidth="1"/>
    <col min="4" max="4" width="22" customWidth="1"/>
    <col min="5" max="5" width="50" customWidth="1"/>
    <col min="6" max="6" width="15" customWidth="1"/>
    <col min="7" max="8" width="13" customWidth="1"/>
  </cols>
  <sheetData>
    <row r="1" spans="1:6" x14ac:dyDescent="0.3">
      <c r="A1" s="15"/>
    </row>
    <row r="2" spans="1:6" ht="19.95" customHeight="1" x14ac:dyDescent="0.3">
      <c r="A2" s="15"/>
    </row>
    <row r="3" spans="1:6" ht="19.95" customHeight="1" x14ac:dyDescent="0.4">
      <c r="A3" s="15"/>
      <c r="C3" s="1" t="s">
        <v>40</v>
      </c>
    </row>
    <row r="4" spans="1:6" ht="22.05" customHeight="1" x14ac:dyDescent="0.3">
      <c r="A4" s="15"/>
      <c r="C4" s="13" t="s">
        <v>15</v>
      </c>
      <c r="D4" s="14"/>
      <c r="E4" s="14"/>
    </row>
    <row r="5" spans="1:6" x14ac:dyDescent="0.3">
      <c r="A5" s="15"/>
    </row>
    <row r="6" spans="1:6" ht="16.5" customHeight="1" x14ac:dyDescent="0.3">
      <c r="A6" s="15"/>
    </row>
    <row r="7" spans="1:6" ht="16.5" customHeight="1" x14ac:dyDescent="0.4">
      <c r="A7" s="15"/>
      <c r="C7" s="5" t="s">
        <v>16</v>
      </c>
    </row>
    <row r="8" spans="1:6" ht="16.5" customHeight="1" x14ac:dyDescent="0.35">
      <c r="A8" s="15"/>
      <c r="C8" s="6" t="s">
        <v>17</v>
      </c>
      <c r="D8" s="6" t="s">
        <v>18</v>
      </c>
      <c r="E8" s="6" t="s">
        <v>19</v>
      </c>
      <c r="F8" s="6" t="s">
        <v>20</v>
      </c>
    </row>
    <row r="9" spans="1:6" ht="16.5" customHeight="1" x14ac:dyDescent="0.4">
      <c r="A9" s="15"/>
      <c r="C9" s="7">
        <v>45662</v>
      </c>
      <c r="D9" s="8" t="s">
        <v>41</v>
      </c>
      <c r="E9" s="8" t="s">
        <v>42</v>
      </c>
      <c r="F9" s="9">
        <v>150</v>
      </c>
    </row>
    <row r="10" spans="1:6" ht="16.5" customHeight="1" x14ac:dyDescent="0.4">
      <c r="A10" s="15"/>
      <c r="C10" s="7">
        <v>45669</v>
      </c>
      <c r="D10" s="8" t="s">
        <v>43</v>
      </c>
      <c r="E10" s="8" t="s">
        <v>44</v>
      </c>
      <c r="F10" s="9">
        <v>200</v>
      </c>
    </row>
    <row r="11" spans="1:6" ht="16.5" customHeight="1" x14ac:dyDescent="0.4">
      <c r="A11" s="15"/>
      <c r="C11" s="7">
        <v>45677</v>
      </c>
      <c r="D11" s="8" t="s">
        <v>25</v>
      </c>
      <c r="E11" s="8" t="s">
        <v>45</v>
      </c>
      <c r="F11" s="9">
        <v>1200</v>
      </c>
    </row>
    <row r="12" spans="1:6" ht="16.5" customHeight="1" x14ac:dyDescent="0.4">
      <c r="A12" s="15"/>
      <c r="C12" s="7">
        <v>45696</v>
      </c>
      <c r="D12" s="8" t="s">
        <v>46</v>
      </c>
      <c r="E12" s="8" t="s">
        <v>47</v>
      </c>
      <c r="F12" s="9">
        <v>180</v>
      </c>
    </row>
    <row r="13" spans="1:6" ht="16.5" customHeight="1" x14ac:dyDescent="0.4">
      <c r="A13" s="16" t="s">
        <v>0</v>
      </c>
      <c r="C13" s="7">
        <v>45713</v>
      </c>
      <c r="D13" s="8" t="s">
        <v>48</v>
      </c>
      <c r="E13" s="8" t="s">
        <v>49</v>
      </c>
      <c r="F13" s="9">
        <v>250</v>
      </c>
    </row>
    <row r="14" spans="1:6" ht="16.5" customHeight="1" x14ac:dyDescent="0.3">
      <c r="A14" s="16" t="s">
        <v>1</v>
      </c>
    </row>
    <row r="15" spans="1:6" ht="16.5" customHeight="1" x14ac:dyDescent="0.4">
      <c r="A15" s="16" t="s">
        <v>2</v>
      </c>
      <c r="C15" s="10"/>
      <c r="D15" s="10"/>
      <c r="E15" s="11" t="s">
        <v>29</v>
      </c>
      <c r="F15" s="12">
        <f>SUM(F9:F13)</f>
        <v>1980</v>
      </c>
    </row>
    <row r="16" spans="1:6" ht="16.5" customHeight="1" x14ac:dyDescent="0.3">
      <c r="A16" s="16" t="s">
        <v>3</v>
      </c>
    </row>
    <row r="17" spans="1:1" ht="16.5" customHeight="1" x14ac:dyDescent="0.3">
      <c r="A17" s="16" t="s">
        <v>4</v>
      </c>
    </row>
    <row r="18" spans="1:1" ht="16.5" customHeight="1" x14ac:dyDescent="0.3">
      <c r="A18" s="16" t="s">
        <v>5</v>
      </c>
    </row>
    <row r="19" spans="1:1" ht="16.5" customHeight="1" x14ac:dyDescent="0.3">
      <c r="A19" s="15"/>
    </row>
    <row r="20" spans="1:1" ht="16.5" customHeight="1" x14ac:dyDescent="0.3">
      <c r="A20" s="15"/>
    </row>
    <row r="21" spans="1:1" ht="16.5" customHeight="1" x14ac:dyDescent="0.3">
      <c r="A21" s="15"/>
    </row>
    <row r="22" spans="1:1" ht="16.5" customHeight="1" x14ac:dyDescent="0.3">
      <c r="A22" s="15"/>
    </row>
    <row r="23" spans="1:1" ht="16.5" customHeight="1" x14ac:dyDescent="0.3">
      <c r="A23" s="15"/>
    </row>
    <row r="24" spans="1:1" ht="16.5" customHeight="1" x14ac:dyDescent="0.3">
      <c r="A24" s="15"/>
    </row>
    <row r="25" spans="1:1" ht="16.5" customHeight="1" x14ac:dyDescent="0.3">
      <c r="A25" s="15"/>
    </row>
    <row r="26" spans="1:1" ht="16.5" customHeight="1" x14ac:dyDescent="0.3">
      <c r="A26" s="15"/>
    </row>
    <row r="27" spans="1:1" ht="16.5" customHeight="1" x14ac:dyDescent="0.3">
      <c r="A27" s="15"/>
    </row>
    <row r="28" spans="1:1" ht="16.5" customHeight="1" x14ac:dyDescent="0.3">
      <c r="A28" s="15"/>
    </row>
    <row r="29" spans="1:1" ht="16.5" customHeight="1" x14ac:dyDescent="0.3"/>
  </sheetData>
  <mergeCells count="1">
    <mergeCell ref="C4:E4"/>
  </mergeCells>
  <hyperlinks>
    <hyperlink ref="A13" location="'Dashboard'!A1" display="Dashboard" xr:uid="{D571B9A4-9A4D-4950-B20E-95F10A199FA8}"/>
    <hyperlink ref="A14" location="'Rendimentos'!A1" display="Rendimentos" xr:uid="{029B9250-52C6-44BE-9390-86F706C68A2E}"/>
    <hyperlink ref="A15" location="'Deduções'!A1" display="Deduções" xr:uid="{DAE94D01-920E-4918-9F45-00C15778CA65}"/>
    <hyperlink ref="A16" location="'Despesas Profissionais'!A1" display="Despesas Profissionais" xr:uid="{F8927614-798D-449B-9BD6-C11FCDD0DE9F}"/>
    <hyperlink ref="A17" location="'Bens e Direitos'!A1" display="Bens e Direitos" xr:uid="{5A0E65C3-E48F-46D1-9CE6-5F63417367E7}"/>
    <hyperlink ref="A18" location="'Resumo Fiscal'!A1" display="Resumo Fiscal" xr:uid="{0B5B70D7-C37F-412E-A567-82101EA7B534}"/>
  </hyperlink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39997558519241921"/>
  </sheetPr>
  <dimension ref="A1:G29"/>
  <sheetViews>
    <sheetView showGridLines="0" workbookViewId="0">
      <pane xSplit="1" topLeftCell="B1" activePane="topRight" state="frozen"/>
      <selection pane="topRight" sqref="A1:A1048576"/>
    </sheetView>
  </sheetViews>
  <sheetFormatPr defaultRowHeight="14.4" x14ac:dyDescent="0.3"/>
  <cols>
    <col min="1" max="1" width="29.88671875" customWidth="1"/>
    <col min="2" max="2" width="13" customWidth="1"/>
    <col min="3" max="3" width="30" customWidth="1"/>
    <col min="4" max="4" width="45" customWidth="1"/>
    <col min="5" max="5" width="18" customWidth="1"/>
    <col min="6" max="6" width="16" customWidth="1"/>
    <col min="7" max="7" width="28" customWidth="1"/>
    <col min="8" max="8" width="13" customWidth="1"/>
  </cols>
  <sheetData>
    <row r="1" spans="1:7" x14ac:dyDescent="0.3">
      <c r="A1" s="15"/>
    </row>
    <row r="2" spans="1:7" ht="19.95" customHeight="1" x14ac:dyDescent="0.3">
      <c r="A2" s="15"/>
    </row>
    <row r="3" spans="1:7" ht="19.95" customHeight="1" x14ac:dyDescent="0.4">
      <c r="A3" s="15"/>
      <c r="C3" s="1" t="s">
        <v>50</v>
      </c>
    </row>
    <row r="4" spans="1:7" ht="22.05" customHeight="1" x14ac:dyDescent="0.3">
      <c r="A4" s="15"/>
      <c r="C4" s="13" t="s">
        <v>51</v>
      </c>
      <c r="D4" s="14"/>
      <c r="E4" s="14"/>
    </row>
    <row r="5" spans="1:7" x14ac:dyDescent="0.3">
      <c r="A5" s="15"/>
    </row>
    <row r="6" spans="1:7" ht="16.5" customHeight="1" x14ac:dyDescent="0.3">
      <c r="A6" s="15"/>
    </row>
    <row r="7" spans="1:7" ht="16.5" customHeight="1" x14ac:dyDescent="0.4">
      <c r="A7" s="15"/>
      <c r="C7" s="5" t="s">
        <v>52</v>
      </c>
    </row>
    <row r="8" spans="1:7" ht="16.5" customHeight="1" x14ac:dyDescent="0.35">
      <c r="A8" s="15"/>
      <c r="C8" s="6" t="s">
        <v>19</v>
      </c>
      <c r="D8" s="6" t="s">
        <v>53</v>
      </c>
      <c r="E8" s="6" t="s">
        <v>54</v>
      </c>
      <c r="F8" s="6" t="s">
        <v>20</v>
      </c>
      <c r="G8" s="6" t="s">
        <v>55</v>
      </c>
    </row>
    <row r="9" spans="1:7" ht="16.5" customHeight="1" x14ac:dyDescent="0.4">
      <c r="A9" s="15"/>
      <c r="C9" s="8" t="s">
        <v>56</v>
      </c>
      <c r="D9" s="8" t="s">
        <v>57</v>
      </c>
      <c r="E9" s="7">
        <v>42139</v>
      </c>
      <c r="F9" s="9">
        <v>450000</v>
      </c>
      <c r="G9" s="8" t="s">
        <v>58</v>
      </c>
    </row>
    <row r="10" spans="1:7" ht="16.5" customHeight="1" x14ac:dyDescent="0.4">
      <c r="A10" s="15"/>
      <c r="C10" s="8" t="s">
        <v>59</v>
      </c>
      <c r="D10" s="8" t="s">
        <v>60</v>
      </c>
      <c r="E10" s="7">
        <v>43322</v>
      </c>
      <c r="F10" s="9">
        <v>320000</v>
      </c>
      <c r="G10" s="8" t="s">
        <v>61</v>
      </c>
    </row>
    <row r="11" spans="1:7" ht="16.5" customHeight="1" x14ac:dyDescent="0.4">
      <c r="A11" s="15"/>
      <c r="C11" s="8" t="s">
        <v>62</v>
      </c>
      <c r="D11" s="8" t="s">
        <v>63</v>
      </c>
      <c r="E11" s="7">
        <v>43546</v>
      </c>
      <c r="F11" s="9">
        <v>85000</v>
      </c>
      <c r="G11" s="8" t="s">
        <v>64</v>
      </c>
    </row>
    <row r="12" spans="1:7" ht="16.5" customHeight="1" x14ac:dyDescent="0.4">
      <c r="A12" s="15"/>
      <c r="C12" s="8" t="s">
        <v>65</v>
      </c>
      <c r="D12" s="8" t="s">
        <v>66</v>
      </c>
      <c r="E12" s="7">
        <v>44931</v>
      </c>
      <c r="F12" s="9">
        <v>25000</v>
      </c>
      <c r="G12" s="8" t="s">
        <v>67</v>
      </c>
    </row>
    <row r="13" spans="1:7" ht="16.5" customHeight="1" x14ac:dyDescent="0.3">
      <c r="A13" s="16" t="s">
        <v>0</v>
      </c>
    </row>
    <row r="14" spans="1:7" ht="16.5" customHeight="1" x14ac:dyDescent="0.4">
      <c r="A14" s="16" t="s">
        <v>1</v>
      </c>
      <c r="C14" s="10"/>
      <c r="D14" s="10"/>
      <c r="E14" s="11" t="s">
        <v>29</v>
      </c>
      <c r="F14" s="12">
        <f>SUM(F9:F12)</f>
        <v>880000</v>
      </c>
      <c r="G14" s="10"/>
    </row>
    <row r="15" spans="1:7" ht="16.5" customHeight="1" x14ac:dyDescent="0.3">
      <c r="A15" s="16" t="s">
        <v>2</v>
      </c>
    </row>
    <row r="16" spans="1:7" ht="16.5" customHeight="1" x14ac:dyDescent="0.3">
      <c r="A16" s="16" t="s">
        <v>3</v>
      </c>
    </row>
    <row r="17" spans="1:1" ht="16.5" customHeight="1" x14ac:dyDescent="0.3">
      <c r="A17" s="16" t="s">
        <v>4</v>
      </c>
    </row>
    <row r="18" spans="1:1" ht="16.5" customHeight="1" x14ac:dyDescent="0.3">
      <c r="A18" s="16" t="s">
        <v>5</v>
      </c>
    </row>
    <row r="19" spans="1:1" ht="16.5" customHeight="1" x14ac:dyDescent="0.3">
      <c r="A19" s="15"/>
    </row>
    <row r="20" spans="1:1" ht="16.5" customHeight="1" x14ac:dyDescent="0.3">
      <c r="A20" s="15"/>
    </row>
    <row r="21" spans="1:1" ht="16.5" customHeight="1" x14ac:dyDescent="0.3">
      <c r="A21" s="15"/>
    </row>
    <row r="22" spans="1:1" ht="16.5" customHeight="1" x14ac:dyDescent="0.3">
      <c r="A22" s="15"/>
    </row>
    <row r="23" spans="1:1" ht="16.5" customHeight="1" x14ac:dyDescent="0.3">
      <c r="A23" s="15"/>
    </row>
    <row r="24" spans="1:1" ht="16.5" customHeight="1" x14ac:dyDescent="0.3">
      <c r="A24" s="15"/>
    </row>
    <row r="25" spans="1:1" ht="16.5" customHeight="1" x14ac:dyDescent="0.3">
      <c r="A25" s="15"/>
    </row>
    <row r="26" spans="1:1" ht="16.5" customHeight="1" x14ac:dyDescent="0.3">
      <c r="A26" s="15"/>
    </row>
    <row r="27" spans="1:1" ht="16.5" customHeight="1" x14ac:dyDescent="0.3">
      <c r="A27" s="15"/>
    </row>
    <row r="28" spans="1:1" ht="16.5" customHeight="1" x14ac:dyDescent="0.3">
      <c r="A28" s="15"/>
    </row>
    <row r="29" spans="1:1" ht="16.5" customHeight="1" x14ac:dyDescent="0.3"/>
  </sheetData>
  <mergeCells count="1">
    <mergeCell ref="C4:E4"/>
  </mergeCells>
  <hyperlinks>
    <hyperlink ref="A13" location="'Dashboard'!A1" display="Dashboard" xr:uid="{213F8773-55CD-40C7-96F9-7DBB351428A4}"/>
    <hyperlink ref="A14" location="'Rendimentos'!A1" display="Rendimentos" xr:uid="{5C7A0C09-E915-4EF7-B358-A1A6405ECB3D}"/>
    <hyperlink ref="A15" location="'Deduções'!A1" display="Deduções" xr:uid="{3C915A49-D323-405D-AE86-001D1FC0B1FC}"/>
    <hyperlink ref="A16" location="'Despesas Profissionais'!A1" display="Despesas Profissionais" xr:uid="{34D6C12A-7CBA-4682-AAAE-5FB8750CB7C9}"/>
    <hyperlink ref="A17" location="'Bens e Direitos'!A1" display="Bens e Direitos" xr:uid="{C642B1BF-E3F1-4DB0-B9F6-39E4ED90930E}"/>
    <hyperlink ref="A18" location="'Resumo Fiscal'!A1" display="Resumo Fiscal" xr:uid="{0E927CCF-48AE-410E-AC9B-726FFDDA375E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39997558519241921"/>
  </sheetPr>
  <dimension ref="A1:E29"/>
  <sheetViews>
    <sheetView showGridLines="0" tabSelected="1" workbookViewId="0">
      <pane xSplit="1" topLeftCell="B1" activePane="topRight" state="frozen"/>
      <selection pane="topRight" activeCell="B16" sqref="B16"/>
    </sheetView>
  </sheetViews>
  <sheetFormatPr defaultRowHeight="14.4" x14ac:dyDescent="0.3"/>
  <cols>
    <col min="1" max="1" width="29.88671875" customWidth="1"/>
    <col min="2" max="2" width="13" customWidth="1"/>
    <col min="3" max="3" width="42.21875" customWidth="1"/>
    <col min="4" max="4" width="43.21875" customWidth="1"/>
    <col min="5" max="8" width="13" customWidth="1"/>
  </cols>
  <sheetData>
    <row r="1" spans="1:5" x14ac:dyDescent="0.3">
      <c r="A1" s="15"/>
    </row>
    <row r="2" spans="1:5" ht="19.95" customHeight="1" x14ac:dyDescent="0.3">
      <c r="A2" s="15"/>
    </row>
    <row r="3" spans="1:5" ht="19.95" customHeight="1" x14ac:dyDescent="0.4">
      <c r="A3" s="15"/>
      <c r="C3" s="1" t="s">
        <v>68</v>
      </c>
    </row>
    <row r="4" spans="1:5" ht="22.05" customHeight="1" x14ac:dyDescent="0.3">
      <c r="A4" s="15"/>
      <c r="C4" s="13" t="s">
        <v>69</v>
      </c>
      <c r="D4" s="14"/>
      <c r="E4" s="14"/>
    </row>
    <row r="5" spans="1:5" x14ac:dyDescent="0.3">
      <c r="A5" s="15"/>
    </row>
    <row r="6" spans="1:5" ht="16.5" customHeight="1" x14ac:dyDescent="0.4">
      <c r="A6" s="15"/>
      <c r="C6" s="5" t="s">
        <v>70</v>
      </c>
    </row>
    <row r="7" spans="1:5" ht="16.5" customHeight="1" x14ac:dyDescent="0.4">
      <c r="A7" s="15"/>
      <c r="C7" s="2" t="s">
        <v>71</v>
      </c>
      <c r="D7" s="3">
        <f>Rendimentos!F15</f>
        <v>18500</v>
      </c>
    </row>
    <row r="8" spans="1:5" ht="16.5" customHeight="1" x14ac:dyDescent="0.4">
      <c r="A8" s="15"/>
      <c r="C8" s="2" t="s">
        <v>72</v>
      </c>
      <c r="D8" s="3">
        <f>Deduções!F15</f>
        <v>2950</v>
      </c>
    </row>
    <row r="9" spans="1:5" ht="16.5" customHeight="1" x14ac:dyDescent="0.4">
      <c r="A9" s="15"/>
      <c r="C9" s="2" t="s">
        <v>73</v>
      </c>
      <c r="D9" s="3">
        <f>'Despesas Profissionais'!F15</f>
        <v>1980</v>
      </c>
    </row>
    <row r="10" spans="1:5" ht="16.5" customHeight="1" x14ac:dyDescent="0.4">
      <c r="A10" s="15"/>
      <c r="C10" s="2" t="s">
        <v>10</v>
      </c>
      <c r="D10" s="3">
        <f>D7-D8-D9</f>
        <v>13570</v>
      </c>
    </row>
    <row r="11" spans="1:5" ht="16.5" customHeight="1" x14ac:dyDescent="0.4">
      <c r="A11" s="15"/>
      <c r="C11" s="2" t="s">
        <v>11</v>
      </c>
      <c r="D11" s="3">
        <f>D10*0.15</f>
        <v>2035.5</v>
      </c>
    </row>
    <row r="12" spans="1:5" ht="16.5" customHeight="1" x14ac:dyDescent="0.4">
      <c r="A12" s="15"/>
      <c r="C12" s="2" t="s">
        <v>74</v>
      </c>
      <c r="D12" s="3">
        <f>'Bens e Direitos'!F14</f>
        <v>880000</v>
      </c>
    </row>
    <row r="13" spans="1:5" ht="16.5" customHeight="1" x14ac:dyDescent="0.3">
      <c r="A13" s="16" t="s">
        <v>0</v>
      </c>
    </row>
    <row r="14" spans="1:5" ht="16.5" customHeight="1" x14ac:dyDescent="0.3">
      <c r="A14" s="16" t="s">
        <v>1</v>
      </c>
    </row>
    <row r="15" spans="1:5" ht="16.5" customHeight="1" x14ac:dyDescent="0.3">
      <c r="A15" s="16" t="s">
        <v>2</v>
      </c>
    </row>
    <row r="16" spans="1:5" ht="16.5" customHeight="1" x14ac:dyDescent="0.3">
      <c r="A16" s="16" t="s">
        <v>3</v>
      </c>
    </row>
    <row r="17" spans="1:1" ht="16.5" customHeight="1" x14ac:dyDescent="0.3">
      <c r="A17" s="16" t="s">
        <v>4</v>
      </c>
    </row>
    <row r="18" spans="1:1" ht="16.5" customHeight="1" x14ac:dyDescent="0.3">
      <c r="A18" s="16" t="s">
        <v>5</v>
      </c>
    </row>
    <row r="19" spans="1:1" ht="16.5" customHeight="1" x14ac:dyDescent="0.3">
      <c r="A19" s="15"/>
    </row>
    <row r="20" spans="1:1" ht="16.5" customHeight="1" x14ac:dyDescent="0.3">
      <c r="A20" s="15"/>
    </row>
    <row r="21" spans="1:1" ht="16.5" customHeight="1" x14ac:dyDescent="0.3">
      <c r="A21" s="15"/>
    </row>
    <row r="22" spans="1:1" ht="16.5" customHeight="1" x14ac:dyDescent="0.3">
      <c r="A22" s="15"/>
    </row>
    <row r="23" spans="1:1" ht="16.5" customHeight="1" x14ac:dyDescent="0.3">
      <c r="A23" s="15"/>
    </row>
    <row r="24" spans="1:1" ht="16.5" customHeight="1" x14ac:dyDescent="0.3">
      <c r="A24" s="15"/>
    </row>
    <row r="25" spans="1:1" ht="16.5" customHeight="1" x14ac:dyDescent="0.3">
      <c r="A25" s="15"/>
    </row>
    <row r="26" spans="1:1" ht="16.5" customHeight="1" x14ac:dyDescent="0.3">
      <c r="A26" s="15"/>
    </row>
    <row r="27" spans="1:1" ht="16.5" customHeight="1" x14ac:dyDescent="0.3">
      <c r="A27" s="15"/>
    </row>
    <row r="28" spans="1:1" ht="16.5" customHeight="1" x14ac:dyDescent="0.3">
      <c r="A28" s="15"/>
    </row>
    <row r="29" spans="1:1" ht="16.5" customHeight="1" x14ac:dyDescent="0.3"/>
  </sheetData>
  <mergeCells count="1">
    <mergeCell ref="C4:E4"/>
  </mergeCells>
  <hyperlinks>
    <hyperlink ref="A13" location="'Dashboard'!A1" display="Dashboard" xr:uid="{80FEEF74-5972-49BF-967B-018052E19C01}"/>
    <hyperlink ref="A14" location="'Rendimentos'!A1" display="Rendimentos" xr:uid="{30FB1F39-95E5-45DC-8E1C-D27479777D1D}"/>
    <hyperlink ref="A15" location="'Deduções'!A1" display="Deduções" xr:uid="{CB855D6C-43C3-47CB-9DB0-83FA85143ADC}"/>
    <hyperlink ref="A16" location="'Despesas Profissionais'!A1" display="Despesas Profissionais" xr:uid="{3F30EADC-6FCA-48D9-AC98-3D7A9B46A635}"/>
    <hyperlink ref="A17" location="'Bens e Direitos'!A1" display="Bens e Direitos" xr:uid="{16ABA279-E9A2-4176-B28A-4B6F5511FD5B}"/>
    <hyperlink ref="A18" location="'Resumo Fiscal'!A1" display="Resumo Fiscal" xr:uid="{8C0B3209-4B37-4782-830F-45B0068DF0A5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Dashboard</vt:lpstr>
      <vt:lpstr>Rendimentos</vt:lpstr>
      <vt:lpstr>Deduções</vt:lpstr>
      <vt:lpstr>Despesas Profissionais</vt:lpstr>
      <vt:lpstr>Bens e Direitos</vt:lpstr>
      <vt:lpstr>Resumo 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Augusto da Silva Vasconcellos</cp:lastModifiedBy>
  <dcterms:created xsi:type="dcterms:W3CDTF">2025-12-29T12:43:57Z</dcterms:created>
  <dcterms:modified xsi:type="dcterms:W3CDTF">2025-12-29T13:50:58Z</dcterms:modified>
</cp:coreProperties>
</file>